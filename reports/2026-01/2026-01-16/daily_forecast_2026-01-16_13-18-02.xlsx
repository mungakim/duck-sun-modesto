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duck-sun-modesto\reports\2026-01\2026-01-16\"/>
    </mc:Choice>
  </mc:AlternateContent>
  <xr:revisionPtr revIDLastSave="0" documentId="13_ncr:1_{DE669EFB-5700-4F78-85BA-EA76B2DA34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ily Forecas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" l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</calcChain>
</file>

<file path=xl/sharedStrings.xml><?xml version="1.0" encoding="utf-8"?>
<sst xmlns="http://schemas.openxmlformats.org/spreadsheetml/2006/main" count="138" uniqueCount="75">
  <si>
    <t>MODESTO, CA - DAILY WEATHER FORECAST</t>
  </si>
  <si>
    <t>Friday, January 16, 2026 13:18:02</t>
  </si>
  <si>
    <t xml:space="preserve">PGE CITYGATE:   </t>
  </si>
  <si>
    <t>MID WEATHER 48-HOUR SUMMARY</t>
  </si>
  <si>
    <t>MID GAS NOM:</t>
  </si>
  <si>
    <t>High</t>
  </si>
  <si>
    <t>Low</t>
  </si>
  <si>
    <t>Rain</t>
  </si>
  <si>
    <t>TODAY</t>
  </si>
  <si>
    <t>53F</t>
  </si>
  <si>
    <t>39F</t>
  </si>
  <si>
    <t>0.00"</t>
  </si>
  <si>
    <t>YESTERDAY</t>
  </si>
  <si>
    <t>62F</t>
  </si>
  <si>
    <t>Records: Hi 72F(2009) Lo 25F(1947)</t>
  </si>
  <si>
    <t>Mostly Cloudy</t>
  </si>
  <si>
    <t>Sunny</t>
  </si>
  <si>
    <t>Overcast</t>
  </si>
  <si>
    <t>Partly Cloudy</t>
  </si>
  <si>
    <t>SAT</t>
  </si>
  <si>
    <t>SUN</t>
  </si>
  <si>
    <t>MON</t>
  </si>
  <si>
    <t>TUE</t>
  </si>
  <si>
    <t>WED</t>
  </si>
  <si>
    <t>THU</t>
  </si>
  <si>
    <t>FRI</t>
  </si>
  <si>
    <t>SOURCE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</si>
  <si>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</si>
  <si>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</si>
  <si>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</si>
  <si>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</si>
  <si>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</si>
  <si>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</si>
  <si>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</si>
  <si>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</si>
  <si>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OPEN-METEO</t>
  </si>
  <si>
    <t>-</t>
  </si>
  <si>
    <t>NOAA (GOV)</t>
  </si>
  <si>
    <t>--</t>
  </si>
  <si>
    <t>MET.NO (EU)</t>
  </si>
  <si>
    <t>ACCU (COM)</t>
  </si>
  <si>
    <t>WEATHER.COM</t>
  </si>
  <si>
    <t>WUNDERGRND</t>
  </si>
  <si>
    <t>GOOGLE (AI)</t>
  </si>
  <si>
    <t>Wtd. Average</t>
  </si>
  <si>
    <t>PRECIP %</t>
  </si>
  <si>
    <t>10%</t>
  </si>
  <si>
    <t>2%</t>
  </si>
  <si>
    <t>4%</t>
  </si>
  <si>
    <t>1%</t>
  </si>
  <si>
    <t>PRECIP = Google (0-72hr) &gt; AccuWeather (72hr+) &gt; Open-Meteo</t>
  </si>
  <si>
    <t>SOLAR FORECAST (GOOGLE AI WEATHER API) - W/m² Irradiance</t>
  </si>
  <si>
    <t>DATE</t>
  </si>
  <si>
    <t>9AM</t>
  </si>
  <si>
    <t>10</t>
  </si>
  <si>
    <t>11</t>
  </si>
  <si>
    <t>12PM</t>
  </si>
  <si>
    <t>1</t>
  </si>
  <si>
    <t>2</t>
  </si>
  <si>
    <t>3</t>
  </si>
  <si>
    <t>4PM</t>
  </si>
  <si>
    <t>01-16
Friday</t>
  </si>
  <si>
    <t>M cloudy</t>
  </si>
  <si>
    <t>01-17
Saturday</t>
  </si>
  <si>
    <t>Fog?</t>
  </si>
  <si>
    <t>01-18
Sunday</t>
  </si>
  <si>
    <t>01-19
Monday</t>
  </si>
  <si>
    <t>Cloudy</t>
  </si>
  <si>
    <t>Some Sun</t>
  </si>
  <si>
    <t>Good Sun</t>
  </si>
  <si>
    <t>Full Sun</t>
  </si>
  <si>
    <t>Fog Possible</t>
  </si>
  <si>
    <t>Heavy Clouds</t>
  </si>
  <si>
    <t>Dense Fog</t>
  </si>
  <si>
    <t>Tule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</si>
</sst>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0.##########"/>
    <numFmt numFmtId="165" formatCode="mm/dd/yy"/>
    <numFmt numFmtId="166" formatCode="#,##0&quot; MMBtus&quot;"/>
  </numFmts>
  <fonts count="17" x14ac:knownFonts="1">
    <font>
      <sz val="11"/>
      <color theme="1"/>
      <name val="Calibri"/>
      <family val="2"/>
      <scheme val="minor"/>
    </font>
    <font>
      <b/>
      <sz val="14"/>
      <color rgb="FF003C7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rgb="FF9E470E"/>
      <name val="Arial"/>
      <family val="2"/>
    </font>
    <font>
      <b/>
      <sz val="9"/>
      <color rgb="FF003C7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sz val="7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6"/>
      <color rgb="FF505050"/>
      <name val="Arial"/>
      <family val="2"/>
    </font>
    <font>
      <b/>
      <sz val="10"/>
      <color rgb="FF003C78"/>
      <name val="Arial"/>
      <family val="2"/>
    </font>
    <font>
      <sz val="6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FC8B4"/>
        <bgColor rgb="FFFFC8B4"/>
      </patternFill>
    </fill>
    <fill>
      <patternFill patternType="solid">
        <fgColor rgb="FFB4D2FF"/>
        <bgColor rgb="FFB4D2FF"/>
      </patternFill>
    </fill>
    <fill>
      <patternFill patternType="solid">
        <fgColor rgb="FFD2DCE6"/>
        <bgColor rgb="FFD2DCE6"/>
      </patternFill>
    </fill>
    <fill>
      <patternFill patternType="solid">
        <fgColor rgb="FFFFFAC8"/>
        <bgColor rgb="FFFFFAC8"/>
      </patternFill>
    </fill>
    <fill>
      <patternFill patternType="solid">
        <fgColor rgb="FFC8C8C8"/>
        <bgColor rgb="FFC8C8C8"/>
      </patternFill>
    </fill>
    <fill>
      <patternFill patternType="solid">
        <fgColor rgb="FFE6F5FF"/>
        <bgColor rgb="FFE6F5FF"/>
      </patternFill>
    </fill>
    <fill>
      <patternFill patternType="solid">
        <fgColor rgb="FF003C78"/>
        <bgColor rgb="FF003C78"/>
      </patternFill>
    </fill>
    <fill>
      <patternFill patternType="solid">
        <fgColor rgb="FF466EA0"/>
        <bgColor rgb="FF466EA0"/>
      </patternFill>
    </fill>
    <fill>
      <patternFill patternType="solid">
        <fgColor rgb="FFF5F5F5"/>
        <bgColor rgb="FFF5F5F5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FF0"/>
        <bgColor rgb="FFFFFFF0"/>
      </patternFill>
    </fill>
    <fill>
      <patternFill patternType="solid">
        <fgColor rgb="FFFFF5EE"/>
        <bgColor rgb="FFFFF5EE"/>
      </patternFill>
    </fill>
    <fill>
      <patternFill patternType="solid">
        <fgColor rgb="FFF5FFFA"/>
        <bgColor rgb="FFF5FFFA"/>
      </patternFill>
    </fill>
    <fill>
      <patternFill patternType="solid">
        <fgColor rgb="FFF8F8FF"/>
        <bgColor rgb="FFF8F8FF"/>
      </patternFill>
    </fill>
    <fill>
      <patternFill patternType="solid">
        <fgColor rgb="FFFFFAF0"/>
        <bgColor rgb="FFFFFAF0"/>
      </patternFill>
    </fill>
    <fill>
      <patternFill patternType="solid">
        <fgColor rgb="FFFFB366"/>
        <bgColor rgb="FFFFB366"/>
      </patternFill>
    </fill>
    <fill>
      <patternFill patternType="solid">
        <fgColor rgb="FF99CCFF"/>
        <bgColor rgb="FF99CCFF"/>
      </patternFill>
    </fill>
    <fill>
      <patternFill patternType="solid">
        <fgColor rgb="FFFFDC64"/>
        <bgColor rgb="FFFFDC64"/>
      </patternFill>
    </fill>
    <fill>
      <patternFill patternType="solid">
        <fgColor rgb="FFF0F0F0"/>
        <bgColor rgb="FFF0F0F0"/>
      </patternFill>
    </fill>
    <fill>
      <patternFill patternType="solid">
        <fgColor rgb="FFDCDCDC"/>
        <bgColor rgb="FFDCDCDC"/>
      </patternFill>
    </fill>
    <fill>
      <patternFill patternType="solid">
        <fgColor rgb="FFC8E6FF"/>
        <bgColor rgb="FFC8E6FF"/>
      </patternFill>
    </fill>
    <fill>
      <patternFill patternType="solid">
        <fgColor rgb="FFC8FFC8"/>
        <bgColor rgb="FFC8FFC8"/>
      </patternFill>
    </fill>
    <fill>
      <patternFill patternType="solid">
        <fgColor rgb="FFFFFFB4"/>
        <bgColor rgb="FFFFFFB4"/>
      </patternFill>
    </fill>
    <fill>
      <patternFill patternType="solid">
        <fgColor rgb="FF90EE90"/>
        <bgColor rgb="FF90EE90"/>
      </patternFill>
    </fill>
    <fill>
      <patternFill patternType="solid">
        <fgColor rgb="FFFFD2A0"/>
        <bgColor rgb="FFFFD2A0"/>
      </patternFill>
    </fill>
    <fill>
      <patternFill patternType="solid">
        <fgColor rgb="FFFFB4B4"/>
        <bgColor rgb="FFFFB4B4"/>
      </patternFill>
    </fill>
    <fill>
      <patternFill patternType="solid">
        <fgColor rgb="FFB4A0C8"/>
        <bgColor rgb="FFB4A0C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0" fontId="15" fillId="0" borderId="0" xfId="0" applyFont="1"/>
    <xf numFmtId="0" fontId="10" fillId="9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16" fillId="24" borderId="2" xfId="0" applyFont="1" applyFill="1" applyBorder="1" applyAlignment="1">
      <alignment horizontal="center" vertical="center"/>
    </xf>
    <xf numFmtId="0" fontId="16" fillId="25" borderId="2" xfId="0" applyFont="1" applyFill="1" applyBorder="1" applyAlignment="1">
      <alignment horizontal="center" vertical="center"/>
    </xf>
    <xf numFmtId="0" fontId="16" fillId="27" borderId="2" xfId="0" applyFont="1" applyFill="1" applyBorder="1" applyAlignment="1">
      <alignment horizontal="center" vertical="center"/>
    </xf>
    <xf numFmtId="0" fontId="16" fillId="26" borderId="2" xfId="0" applyFont="1" applyFill="1" applyBorder="1" applyAlignment="1">
      <alignment horizontal="center" vertical="center"/>
    </xf>
    <xf numFmtId="0" fontId="16" fillId="28" borderId="2" xfId="0" applyFont="1" applyFill="1" applyBorder="1" applyAlignment="1">
      <alignment horizontal="center" vertical="center"/>
    </xf>
    <xf numFmtId="0" fontId="16" fillId="29" borderId="2" xfId="0" applyFont="1" applyFill="1" applyBorder="1" applyAlignment="1">
      <alignment horizontal="center" vertical="center"/>
    </xf>
    <xf numFmtId="0" fontId="16" fillId="3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0" borderId="2" xfId="0" applyBorder="1"/>
    <xf numFmtId="0" fontId="12" fillId="13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21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12" fillId="16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T35"/>
  <sheetViews>
    <sheetView tabSelected="1" workbookViewId="0">
      <selection activeCell="W11" sqref="W11"/>
    </sheetView>
  </sheetViews>
  <sheetFormatPr defaultRowHeight="15" x14ac:dyDescent="0.25"/>
  <cols>
    <col min="1" max="2" width="1" customWidth="1"/>
    <col min="3" max="3" width="11" customWidth="1"/>
    <col min="4" max="11" width="8" customWidth="1"/>
    <col min="12" max="21" width="7.42578125" customWidth="1"/>
  </cols>
  <sheetData>
    <row r="1" spans="3:20" ht="18" x14ac:dyDescent="0.25">
      <c r="C1" s="42" t="s">
        <v>0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3:20" x14ac:dyDescent="0.25">
      <c r="C2" s="55" t="s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3:20" x14ac:dyDescent="0.25">
      <c r="C3" s="1" t="s">
        <v>2</v>
      </c>
      <c r="D3" s="65"/>
      <c r="E3" s="51"/>
    </row>
    <row r="4" spans="3:20" x14ac:dyDescent="0.25">
      <c r="M4" s="54" t="s">
        <v>3</v>
      </c>
      <c r="N4" s="38"/>
      <c r="O4" s="38"/>
      <c r="P4" s="38"/>
      <c r="Q4" s="38"/>
      <c r="R4" s="38"/>
      <c r="S4" s="38"/>
    </row>
    <row r="5" spans="3:20" x14ac:dyDescent="0.25">
      <c r="C5" s="2" t="s">
        <v>4</v>
      </c>
      <c r="P5" s="3" t="s">
        <v>5</v>
      </c>
      <c r="Q5" s="3" t="s">
        <v>6</v>
      </c>
      <c r="R5" s="3" t="s">
        <v>7</v>
      </c>
    </row>
    <row r="6" spans="3:20" x14ac:dyDescent="0.25">
      <c r="C6" s="4"/>
      <c r="D6" s="50"/>
      <c r="E6" s="51"/>
      <c r="N6" s="44" t="s">
        <v>8</v>
      </c>
      <c r="O6" s="38"/>
      <c r="P6" s="5" t="s">
        <v>9</v>
      </c>
      <c r="Q6" s="6" t="s">
        <v>10</v>
      </c>
      <c r="R6" s="7" t="s">
        <v>11</v>
      </c>
    </row>
    <row r="7" spans="3:20" x14ac:dyDescent="0.25">
      <c r="C7" s="4"/>
      <c r="D7" s="50"/>
      <c r="E7" s="51"/>
      <c r="N7" s="44" t="s">
        <v>12</v>
      </c>
      <c r="O7" s="38"/>
      <c r="P7" s="5" t="s">
        <v>13</v>
      </c>
      <c r="Q7" s="6" t="s">
        <v>10</v>
      </c>
      <c r="R7" s="7" t="s">
        <v>11</v>
      </c>
    </row>
    <row r="8" spans="3:20" x14ac:dyDescent="0.25">
      <c r="C8" s="4"/>
      <c r="D8" s="50"/>
      <c r="E8" s="51"/>
      <c r="N8" s="56" t="s">
        <v>14</v>
      </c>
      <c r="O8" s="38"/>
      <c r="P8" s="38"/>
      <c r="Q8" s="38"/>
      <c r="R8" s="38"/>
    </row>
    <row r="10" spans="3:20" x14ac:dyDescent="0.25">
      <c r="C10" s="43"/>
      <c r="D10" s="43"/>
      <c r="E10" s="53" t="s">
        <v>15</v>
      </c>
      <c r="F10" s="38"/>
      <c r="G10" s="53" t="s">
        <v>15</v>
      </c>
      <c r="H10" s="38"/>
      <c r="I10" s="66" t="s">
        <v>16</v>
      </c>
      <c r="J10" s="38"/>
      <c r="K10" s="53" t="s">
        <v>15</v>
      </c>
      <c r="L10" s="38"/>
      <c r="M10" s="53" t="s">
        <v>15</v>
      </c>
      <c r="N10" s="38"/>
      <c r="O10" s="46" t="s">
        <v>17</v>
      </c>
      <c r="P10" s="38"/>
      <c r="Q10" s="46" t="s">
        <v>17</v>
      </c>
      <c r="R10" s="38"/>
      <c r="S10" s="60" t="s">
        <v>18</v>
      </c>
      <c r="T10" s="38"/>
    </row>
    <row r="11" spans="3:20" x14ac:dyDescent="0.25">
      <c r="C11" s="62"/>
      <c r="D11" s="38"/>
      <c r="E11" s="47" t="s">
        <v>8</v>
      </c>
      <c r="F11" s="38"/>
      <c r="G11" s="47" t="s">
        <v>19</v>
      </c>
      <c r="H11" s="38"/>
      <c r="I11" s="47" t="s">
        <v>20</v>
      </c>
      <c r="J11" s="38"/>
      <c r="K11" s="47" t="s">
        <v>21</v>
      </c>
      <c r="L11" s="38"/>
      <c r="M11" s="47" t="s">
        <v>22</v>
      </c>
      <c r="N11" s="38"/>
      <c r="O11" s="47" t="s">
        <v>23</v>
      </c>
      <c r="P11" s="38"/>
      <c r="Q11" s="47" t="s">
        <v>24</v>
      </c>
      <c r="R11" s="38"/>
      <c r="S11" s="47" t="s">
        <v>25</v>
      </c>
      <c r="T11" s="38"/>
    </row>
    <row r="12" spans="3:20" x14ac:dyDescent="0.25">
      <c r="C12" s="58" t="s">
        <v>26</v>
      </c>
      <c r="D12" s="38"/>
      <c r="E12" s="37" t="s">
        <v>27</v>
      </c>
      <c r="F12" s="38"/>
      <c r="G12" s="37" t="s">
        <v>28</v>
      </c>
      <c r="H12" s="38"/>
      <c r="I12" s="37" t="s">
        <v>29</v>
      </c>
      <c r="J12" s="38"/>
      <c r="K12" s="37" t="s">
        <v>30</v>
      </c>
      <c r="L12" s="38"/>
      <c r="M12" s="37" t="s">
        <v>31</v>
      </c>
      <c r="N12" s="38"/>
      <c r="O12" s="37" t="s">
        <v>32</v>
      </c>
      <c r="P12" s="38"/>
      <c r="Q12" s="37" t="s">
        <v>33</v>
      </c>
      <c r="R12" s="38"/>
      <c r="S12" s="37" t="s">
        <v>34</v>
      </c>
      <c r="T12" s="38"/>
    </row>
    <row r="13" spans="3:20" x14ac:dyDescent="0.25">
      <c r="C13" s="45" t="s">
        <v>35</v>
      </c>
      <c r="D13" s="38"/>
      <c r="E13" s="8">
        <v>55</v>
      </c>
      <c r="F13" s="9">
        <v>38</v>
      </c>
      <c r="G13" s="10">
        <v>54</v>
      </c>
      <c r="H13" s="9">
        <v>40</v>
      </c>
      <c r="I13" s="11" t="s">
        <v>36</v>
      </c>
      <c r="J13" s="9">
        <v>38</v>
      </c>
      <c r="K13" s="12" t="s">
        <v>36</v>
      </c>
      <c r="L13" s="12">
        <v>47</v>
      </c>
      <c r="M13" s="13" t="s">
        <v>36</v>
      </c>
      <c r="N13" s="13">
        <v>47</v>
      </c>
      <c r="O13" s="14" t="s">
        <v>36</v>
      </c>
      <c r="P13" s="14">
        <v>48</v>
      </c>
      <c r="Q13" s="15" t="s">
        <v>36</v>
      </c>
      <c r="R13" s="15">
        <v>47</v>
      </c>
      <c r="S13" s="16" t="s">
        <v>36</v>
      </c>
      <c r="T13" s="16">
        <v>45</v>
      </c>
    </row>
    <row r="14" spans="3:20" x14ac:dyDescent="0.25">
      <c r="C14" s="45" t="s">
        <v>37</v>
      </c>
      <c r="D14" s="38"/>
      <c r="E14" s="17">
        <v>61</v>
      </c>
      <c r="F14" s="8">
        <v>40</v>
      </c>
      <c r="G14" s="10">
        <v>60</v>
      </c>
      <c r="H14" s="10">
        <v>42</v>
      </c>
      <c r="I14" s="11">
        <v>60</v>
      </c>
      <c r="J14" s="11">
        <v>42</v>
      </c>
      <c r="K14" s="12">
        <v>59</v>
      </c>
      <c r="L14" s="12">
        <v>41</v>
      </c>
      <c r="M14" s="13">
        <v>59</v>
      </c>
      <c r="N14" s="13">
        <v>43</v>
      </c>
      <c r="O14" s="14">
        <v>58</v>
      </c>
      <c r="P14" s="14">
        <v>43</v>
      </c>
      <c r="Q14" s="15">
        <v>57</v>
      </c>
      <c r="R14" s="15">
        <v>43</v>
      </c>
      <c r="S14" s="16" t="s">
        <v>38</v>
      </c>
      <c r="T14" s="16" t="s">
        <v>38</v>
      </c>
    </row>
    <row r="15" spans="3:20" x14ac:dyDescent="0.25">
      <c r="C15" s="45" t="s">
        <v>39</v>
      </c>
      <c r="D15" s="38"/>
      <c r="E15" s="8">
        <v>57</v>
      </c>
      <c r="F15" s="8">
        <v>41</v>
      </c>
      <c r="G15" s="10">
        <v>58</v>
      </c>
      <c r="H15" s="10">
        <v>42</v>
      </c>
      <c r="I15" s="11">
        <v>60</v>
      </c>
      <c r="J15" s="11">
        <v>43</v>
      </c>
      <c r="K15" s="12">
        <v>58</v>
      </c>
      <c r="L15" s="12">
        <v>43</v>
      </c>
      <c r="M15" s="13">
        <v>58</v>
      </c>
      <c r="N15" s="13">
        <v>44</v>
      </c>
      <c r="O15" s="14">
        <v>58</v>
      </c>
      <c r="P15" s="14">
        <v>43</v>
      </c>
      <c r="Q15" s="15">
        <v>58</v>
      </c>
      <c r="R15" s="15">
        <v>43</v>
      </c>
      <c r="S15" s="16">
        <v>55</v>
      </c>
      <c r="T15" s="16">
        <v>44</v>
      </c>
    </row>
    <row r="16" spans="3:20" x14ac:dyDescent="0.25">
      <c r="C16" s="45" t="s">
        <v>40</v>
      </c>
      <c r="D16" s="38"/>
      <c r="E16" s="8">
        <v>59</v>
      </c>
      <c r="F16" s="8">
        <v>40</v>
      </c>
      <c r="G16" s="17">
        <v>61</v>
      </c>
      <c r="H16" s="10">
        <v>41</v>
      </c>
      <c r="I16" s="17">
        <v>61</v>
      </c>
      <c r="J16" s="11">
        <v>42</v>
      </c>
      <c r="K16" s="17">
        <v>62</v>
      </c>
      <c r="L16" s="12">
        <v>41</v>
      </c>
      <c r="M16" s="17">
        <v>63</v>
      </c>
      <c r="N16" s="13">
        <v>41</v>
      </c>
      <c r="O16" s="14" t="s">
        <v>38</v>
      </c>
      <c r="P16" s="14" t="s">
        <v>38</v>
      </c>
      <c r="Q16" s="15" t="s">
        <v>38</v>
      </c>
      <c r="R16" s="15" t="s">
        <v>38</v>
      </c>
      <c r="S16" s="16" t="s">
        <v>38</v>
      </c>
      <c r="T16" s="16" t="s">
        <v>38</v>
      </c>
    </row>
    <row r="17" spans="3:20" x14ac:dyDescent="0.25">
      <c r="C17" s="45" t="s">
        <v>41</v>
      </c>
      <c r="D17" s="38"/>
      <c r="E17" s="8">
        <v>59</v>
      </c>
      <c r="F17" s="8">
        <v>39</v>
      </c>
      <c r="G17" s="10">
        <v>55</v>
      </c>
      <c r="H17" s="9">
        <v>40</v>
      </c>
      <c r="I17" s="11">
        <v>55</v>
      </c>
      <c r="J17" s="11">
        <v>39</v>
      </c>
      <c r="K17" s="12">
        <v>58</v>
      </c>
      <c r="L17" s="9">
        <v>39</v>
      </c>
      <c r="M17" s="13">
        <v>59</v>
      </c>
      <c r="N17" s="9">
        <v>39</v>
      </c>
      <c r="O17" s="17">
        <v>59</v>
      </c>
      <c r="P17" s="9">
        <v>40</v>
      </c>
      <c r="Q17" s="17">
        <v>60</v>
      </c>
      <c r="R17" s="9">
        <v>41</v>
      </c>
      <c r="S17" s="17">
        <v>61</v>
      </c>
      <c r="T17" s="9">
        <v>41</v>
      </c>
    </row>
    <row r="18" spans="3:20" x14ac:dyDescent="0.25">
      <c r="C18" s="45" t="s">
        <v>42</v>
      </c>
      <c r="D18" s="38"/>
      <c r="E18" s="8">
        <v>58</v>
      </c>
      <c r="F18" s="8">
        <v>39</v>
      </c>
      <c r="G18" s="10">
        <v>55</v>
      </c>
      <c r="H18" s="9">
        <v>40</v>
      </c>
      <c r="I18" s="11">
        <v>54</v>
      </c>
      <c r="J18" s="11">
        <v>39</v>
      </c>
      <c r="K18" s="12">
        <v>58</v>
      </c>
      <c r="L18" s="9">
        <v>39</v>
      </c>
      <c r="M18" s="13">
        <v>59</v>
      </c>
      <c r="N18" s="13">
        <v>40</v>
      </c>
      <c r="O18" s="17">
        <v>59</v>
      </c>
      <c r="P18" s="9">
        <v>40</v>
      </c>
      <c r="Q18" s="15" t="s">
        <v>38</v>
      </c>
      <c r="R18" s="15" t="s">
        <v>38</v>
      </c>
      <c r="S18" s="16" t="s">
        <v>38</v>
      </c>
      <c r="T18" s="16" t="s">
        <v>38</v>
      </c>
    </row>
    <row r="19" spans="3:20" x14ac:dyDescent="0.25">
      <c r="C19" s="45" t="s">
        <v>43</v>
      </c>
      <c r="D19" s="38"/>
      <c r="E19" s="8">
        <v>56</v>
      </c>
      <c r="F19" s="9">
        <v>38</v>
      </c>
      <c r="G19" s="10">
        <v>59</v>
      </c>
      <c r="H19" s="9">
        <v>40</v>
      </c>
      <c r="I19" s="17">
        <v>61</v>
      </c>
      <c r="J19" s="11">
        <v>41</v>
      </c>
      <c r="K19" s="12">
        <v>60</v>
      </c>
      <c r="L19" s="12">
        <v>40</v>
      </c>
      <c r="M19" s="13">
        <v>54</v>
      </c>
      <c r="N19" s="13">
        <v>40</v>
      </c>
      <c r="O19" s="14" t="s">
        <v>38</v>
      </c>
      <c r="P19" s="14" t="s">
        <v>38</v>
      </c>
      <c r="Q19" s="15" t="s">
        <v>38</v>
      </c>
      <c r="R19" s="15" t="s">
        <v>38</v>
      </c>
      <c r="S19" s="16" t="s">
        <v>38</v>
      </c>
      <c r="T19" s="16" t="s">
        <v>38</v>
      </c>
    </row>
    <row r="20" spans="3:20" x14ac:dyDescent="0.25">
      <c r="C20" s="52" t="s">
        <v>44</v>
      </c>
      <c r="D20" s="38"/>
      <c r="E20" s="18">
        <f>IFERROR(ROUND(SUMPRODUCT(--(ISNUMBER(E13:E19)),E13:E19,{1;3;3;4;4;4;6})/SUMPRODUCT(--(ISNUMBER(E13:E19)),{1;3;3;4;4;4;6}),0),"--")</f>
        <v>58</v>
      </c>
      <c r="F20" s="18">
        <f>IFERROR(ROUND(SUMPRODUCT(--(ISNUMBER(F13:F19)),F13:F19,{1;3;3;4;4;4;6})/SUMPRODUCT(--(ISNUMBER(F13:F19)),{1;3;3;4;4;4;6}),0),"--")</f>
        <v>39</v>
      </c>
      <c r="G20" s="18">
        <f>IFERROR(ROUND(SUMPRODUCT(--(ISNUMBER(G13:G19)),G13:G19,{1;3;3;4;4;4;6})/SUMPRODUCT(--(ISNUMBER(G13:G19)),{1;3;3;4;4;4;6}),0),"--")</f>
        <v>58</v>
      </c>
      <c r="H20" s="18">
        <f>IFERROR(ROUND(SUMPRODUCT(--(ISNUMBER(H13:H19)),H13:H19,{1;3;3;4;4;4;6})/SUMPRODUCT(--(ISNUMBER(H13:H19)),{1;3;3;4;4;4;6}),0),"--")</f>
        <v>41</v>
      </c>
      <c r="I20" s="18">
        <f>IFERROR(ROUND(SUMPRODUCT(--(ISNUMBER(I13:I19)),I13:I19,{1;3;3;4;4;4;6})/SUMPRODUCT(--(ISNUMBER(I13:I19)),{1;3;3;4;4;4;6}),0),"--")</f>
        <v>59</v>
      </c>
      <c r="J20" s="18">
        <f>IFERROR(ROUND(SUMPRODUCT(--(ISNUMBER(J13:J19)),J13:J19,{1;3;3;4;4;4;6})/SUMPRODUCT(--(ISNUMBER(J13:J19)),{1;3;3;4;4;4;6}),0),"--")</f>
        <v>41</v>
      </c>
      <c r="K20" s="18">
        <f>IFERROR(ROUND(SUMPRODUCT(--(ISNUMBER(K13:K19)),K13:K19,{1;3;3;4;4;4;6})/SUMPRODUCT(--(ISNUMBER(K13:K19)),{1;3;3;4;4;4;6}),0),"--")</f>
        <v>59</v>
      </c>
      <c r="L20" s="18">
        <f>IFERROR(ROUND(SUMPRODUCT(--(ISNUMBER(L13:L19)),L13:L19,{1;3;3;4;4;4;6})/SUMPRODUCT(--(ISNUMBER(L13:L19)),{1;3;3;4;4;4;6}),0),"--")</f>
        <v>41</v>
      </c>
      <c r="M20" s="18">
        <f>IFERROR(ROUND(SUMPRODUCT(--(ISNUMBER(M13:M19)),M13:M19,{1;3;3;4;4;4;6})/SUMPRODUCT(--(ISNUMBER(M13:M19)),{1;3;3;4;4;4;6}),0),"--")</f>
        <v>58</v>
      </c>
      <c r="N20" s="18">
        <f>IFERROR(ROUND(SUMPRODUCT(--(ISNUMBER(N13:N19)),N13:N19,{1;3;3;4;4;4;6})/SUMPRODUCT(--(ISNUMBER(N13:N19)),{1;3;3;4;4;4;6}),0),"--")</f>
        <v>41</v>
      </c>
      <c r="O20" s="18">
        <f>IFERROR(ROUND(SUMPRODUCT(--(ISNUMBER(O13:O19)),O13:O19,{1;3;3;4;4;4;6})/SUMPRODUCT(--(ISNUMBER(O13:O19)),{1;3;3;4;4;4;6}),0),"--")</f>
        <v>59</v>
      </c>
      <c r="P20" s="18">
        <f>IFERROR(ROUND(SUMPRODUCT(--(ISNUMBER(P13:P19)),P13:P19,{1;3;3;4;4;4;6})/SUMPRODUCT(--(ISNUMBER(P13:P19)),{1;3;3;4;4;4;6}),0),"--")</f>
        <v>42</v>
      </c>
      <c r="Q20" s="18">
        <f>IFERROR(ROUND(SUMPRODUCT(--(ISNUMBER(Q13:Q19)),Q13:Q19,{1;3;3;4;4;4;6})/SUMPRODUCT(--(ISNUMBER(Q13:Q19)),{1;3;3;4;4;4;6}),0),"--")</f>
        <v>59</v>
      </c>
      <c r="R20" s="18">
        <f>IFERROR(ROUND(SUMPRODUCT(--(ISNUMBER(R13:R19)),R13:R19,{1;3;3;4;4;4;6})/SUMPRODUCT(--(ISNUMBER(R13:R19)),{1;3;3;4;4;4;6}),0),"--")</f>
        <v>43</v>
      </c>
      <c r="S20" s="18">
        <f>IFERROR(ROUND(SUMPRODUCT(--(ISNUMBER(S13:S19)),S13:S19,{1;3;3;4;4;4;6})/SUMPRODUCT(--(ISNUMBER(S13:S19)),{1;3;3;4;4;4;6}),0),"--")</f>
        <v>58</v>
      </c>
      <c r="T20" s="18">
        <f>IFERROR(ROUND(SUMPRODUCT(--(ISNUMBER(T13:T19)),T13:T19,{1;3;3;4;4;4;6})/SUMPRODUCT(--(ISNUMBER(T13:T19)),{1;3;3;4;4;4;6}),0),"--")</f>
        <v>43</v>
      </c>
    </row>
    <row r="21" spans="3:20" x14ac:dyDescent="0.25">
      <c r="C21" s="61" t="s">
        <v>45</v>
      </c>
      <c r="D21" s="38"/>
      <c r="E21" s="67" t="s">
        <v>46</v>
      </c>
      <c r="F21" s="38"/>
      <c r="G21" s="39" t="s">
        <v>46</v>
      </c>
      <c r="H21" s="38"/>
      <c r="I21" s="57" t="s">
        <v>46</v>
      </c>
      <c r="J21" s="38"/>
      <c r="K21" s="49" t="s">
        <v>47</v>
      </c>
      <c r="L21" s="38"/>
      <c r="M21" s="59" t="s">
        <v>48</v>
      </c>
      <c r="N21" s="38"/>
      <c r="O21" s="63" t="s">
        <v>49</v>
      </c>
      <c r="P21" s="38"/>
      <c r="Q21" s="41" t="s">
        <v>47</v>
      </c>
      <c r="R21" s="38"/>
      <c r="S21" s="48" t="s">
        <v>48</v>
      </c>
      <c r="T21" s="38"/>
    </row>
    <row r="22" spans="3:20" x14ac:dyDescent="0.25">
      <c r="N22" s="64" t="s">
        <v>50</v>
      </c>
      <c r="O22" s="43"/>
      <c r="P22" s="43"/>
      <c r="Q22" s="43"/>
      <c r="R22" s="43"/>
      <c r="S22" s="43"/>
      <c r="T22" s="43"/>
    </row>
    <row r="24" spans="3:20" x14ac:dyDescent="0.25">
      <c r="C24" s="19" t="s">
        <v>51</v>
      </c>
    </row>
    <row r="25" spans="3:20" x14ac:dyDescent="0.25">
      <c r="C25" s="20" t="s">
        <v>52</v>
      </c>
      <c r="D25" s="20" t="s">
        <v>53</v>
      </c>
      <c r="E25" s="20" t="s">
        <v>54</v>
      </c>
      <c r="F25" s="20" t="s">
        <v>55</v>
      </c>
      <c r="G25" s="20" t="s">
        <v>56</v>
      </c>
      <c r="H25" s="20" t="s">
        <v>57</v>
      </c>
      <c r="I25" s="20" t="s">
        <v>58</v>
      </c>
      <c r="J25" s="20" t="s">
        <v>59</v>
      </c>
      <c r="K25" s="20" t="s">
        <v>60</v>
      </c>
    </row>
    <row r="26" spans="3:20" x14ac:dyDescent="0.25">
      <c r="C26" s="40" t="s">
        <v>61</v>
      </c>
      <c r="D26" s="21">
        <v>40</v>
      </c>
      <c r="E26" s="22">
        <v>64</v>
      </c>
      <c r="F26" s="22">
        <v>90</v>
      </c>
      <c r="G26" s="22">
        <v>142</v>
      </c>
      <c r="H26" s="23">
        <v>156</v>
      </c>
      <c r="I26" s="23">
        <v>174</v>
      </c>
      <c r="J26" s="22">
        <v>146</v>
      </c>
      <c r="K26" s="22">
        <v>98</v>
      </c>
    </row>
    <row r="27" spans="3:20" x14ac:dyDescent="0.25">
      <c r="C27" s="38"/>
      <c r="D27" s="24" t="s">
        <v>62</v>
      </c>
      <c r="E27" s="25" t="s">
        <v>62</v>
      </c>
      <c r="F27" s="25" t="s">
        <v>62</v>
      </c>
      <c r="G27" s="25" t="s">
        <v>16</v>
      </c>
      <c r="H27" s="26" t="s">
        <v>16</v>
      </c>
      <c r="I27" s="26" t="s">
        <v>16</v>
      </c>
      <c r="J27" s="25" t="s">
        <v>16</v>
      </c>
      <c r="K27" s="25" t="s">
        <v>16</v>
      </c>
    </row>
    <row r="28" spans="3:20" x14ac:dyDescent="0.25">
      <c r="C28" s="40" t="s">
        <v>63</v>
      </c>
      <c r="D28" s="27">
        <v>37</v>
      </c>
      <c r="E28" s="27">
        <v>60</v>
      </c>
      <c r="F28" s="27">
        <v>69</v>
      </c>
      <c r="G28" s="27">
        <v>83</v>
      </c>
      <c r="H28" s="22">
        <v>93</v>
      </c>
      <c r="I28" s="22">
        <v>91</v>
      </c>
      <c r="J28" s="22">
        <v>100</v>
      </c>
      <c r="K28" s="22">
        <v>61</v>
      </c>
    </row>
    <row r="29" spans="3:20" x14ac:dyDescent="0.25">
      <c r="C29" s="38"/>
      <c r="D29" s="28" t="s">
        <v>64</v>
      </c>
      <c r="E29" s="28" t="s">
        <v>64</v>
      </c>
      <c r="F29" s="28" t="s">
        <v>64</v>
      </c>
      <c r="G29" s="28" t="s">
        <v>64</v>
      </c>
      <c r="H29" s="25" t="s">
        <v>62</v>
      </c>
      <c r="I29" s="25" t="s">
        <v>62</v>
      </c>
      <c r="J29" s="25" t="s">
        <v>16</v>
      </c>
      <c r="K29" s="25" t="s">
        <v>16</v>
      </c>
    </row>
    <row r="30" spans="3:20" x14ac:dyDescent="0.25">
      <c r="C30" s="40" t="s">
        <v>65</v>
      </c>
      <c r="D30" s="27">
        <v>35</v>
      </c>
      <c r="E30" s="22">
        <v>74</v>
      </c>
      <c r="F30" s="22">
        <v>114</v>
      </c>
      <c r="G30" s="23">
        <v>159</v>
      </c>
      <c r="H30" s="23">
        <v>172</v>
      </c>
      <c r="I30" s="22">
        <v>137</v>
      </c>
      <c r="J30" s="22">
        <v>121</v>
      </c>
      <c r="K30" s="22">
        <v>79</v>
      </c>
    </row>
    <row r="31" spans="3:20" x14ac:dyDescent="0.25">
      <c r="C31" s="38"/>
      <c r="D31" s="28" t="s">
        <v>64</v>
      </c>
      <c r="E31" s="25" t="s">
        <v>62</v>
      </c>
      <c r="F31" s="25" t="s">
        <v>62</v>
      </c>
      <c r="G31" s="26" t="s">
        <v>16</v>
      </c>
      <c r="H31" s="26" t="s">
        <v>16</v>
      </c>
      <c r="I31" s="25" t="s">
        <v>16</v>
      </c>
      <c r="J31" s="25" t="s">
        <v>16</v>
      </c>
      <c r="K31" s="25" t="s">
        <v>16</v>
      </c>
    </row>
    <row r="32" spans="3:20" x14ac:dyDescent="0.25">
      <c r="C32" s="40" t="s">
        <v>66</v>
      </c>
      <c r="D32" s="21">
        <v>40</v>
      </c>
      <c r="E32" s="22">
        <v>63</v>
      </c>
      <c r="F32" s="22">
        <v>107</v>
      </c>
      <c r="G32" s="22">
        <v>143</v>
      </c>
      <c r="H32" s="23">
        <v>168</v>
      </c>
      <c r="I32" s="23">
        <v>170</v>
      </c>
      <c r="J32" s="22">
        <v>148</v>
      </c>
      <c r="K32" s="22">
        <v>103</v>
      </c>
    </row>
    <row r="33" spans="3:11" x14ac:dyDescent="0.25">
      <c r="C33" s="38"/>
      <c r="D33" s="24" t="s">
        <v>62</v>
      </c>
      <c r="E33" s="25" t="s">
        <v>62</v>
      </c>
      <c r="F33" s="25" t="s">
        <v>62</v>
      </c>
      <c r="G33" s="25" t="s">
        <v>16</v>
      </c>
      <c r="H33" s="26" t="s">
        <v>16</v>
      </c>
      <c r="I33" s="26" t="s">
        <v>16</v>
      </c>
      <c r="J33" s="25" t="s">
        <v>16</v>
      </c>
      <c r="K33" s="25" t="s">
        <v>16</v>
      </c>
    </row>
    <row r="35" spans="3:11" x14ac:dyDescent="0.25">
      <c r="D35" s="29" t="s">
        <v>67</v>
      </c>
      <c r="E35" s="30" t="s">
        <v>68</v>
      </c>
      <c r="F35" s="31" t="s">
        <v>69</v>
      </c>
      <c r="G35" s="32" t="s">
        <v>70</v>
      </c>
      <c r="H35" s="33" t="s">
        <v>71</v>
      </c>
      <c r="I35" s="34" t="s">
        <v>72</v>
      </c>
      <c r="J35" s="35" t="s">
        <v>73</v>
      </c>
      <c r="K35" s="36" t="s">
        <v>74</v>
      </c>
    </row>
  </sheetData>
  <mergeCells count="59">
    <mergeCell ref="C32:C33"/>
    <mergeCell ref="D3:E3"/>
    <mergeCell ref="C17:D17"/>
    <mergeCell ref="O12:P12"/>
    <mergeCell ref="D8:E8"/>
    <mergeCell ref="O11:P11"/>
    <mergeCell ref="N6:O6"/>
    <mergeCell ref="I10:J10"/>
    <mergeCell ref="C28:C29"/>
    <mergeCell ref="K10:L10"/>
    <mergeCell ref="C19:D19"/>
    <mergeCell ref="C13:D13"/>
    <mergeCell ref="C18:D18"/>
    <mergeCell ref="E21:F21"/>
    <mergeCell ref="D7:E7"/>
    <mergeCell ref="S10:T10"/>
    <mergeCell ref="K12:L12"/>
    <mergeCell ref="M12:N12"/>
    <mergeCell ref="C21:D21"/>
    <mergeCell ref="C11:D11"/>
    <mergeCell ref="O21:P21"/>
    <mergeCell ref="E11:F11"/>
    <mergeCell ref="Q11:R11"/>
    <mergeCell ref="S21:T21"/>
    <mergeCell ref="I11:J11"/>
    <mergeCell ref="C14:D14"/>
    <mergeCell ref="C26:C27"/>
    <mergeCell ref="K21:L21"/>
    <mergeCell ref="C20:D20"/>
    <mergeCell ref="K11:L11"/>
    <mergeCell ref="M11:N11"/>
    <mergeCell ref="S11:T11"/>
    <mergeCell ref="C16:D16"/>
    <mergeCell ref="I21:J21"/>
    <mergeCell ref="C12:D12"/>
    <mergeCell ref="I12:J12"/>
    <mergeCell ref="M21:N21"/>
    <mergeCell ref="N22:T22"/>
    <mergeCell ref="C1:T1"/>
    <mergeCell ref="N7:O7"/>
    <mergeCell ref="Q12:R12"/>
    <mergeCell ref="C15:D15"/>
    <mergeCell ref="O10:P10"/>
    <mergeCell ref="G11:H11"/>
    <mergeCell ref="S12:T12"/>
    <mergeCell ref="D6:E6"/>
    <mergeCell ref="C10:D10"/>
    <mergeCell ref="E10:F10"/>
    <mergeCell ref="M4:S4"/>
    <mergeCell ref="G10:H10"/>
    <mergeCell ref="C2:T2"/>
    <mergeCell ref="M10:N10"/>
    <mergeCell ref="Q10:R10"/>
    <mergeCell ref="N8:R8"/>
    <mergeCell ref="E12:F12"/>
    <mergeCell ref="G21:H21"/>
    <mergeCell ref="C30:C31"/>
    <mergeCell ref="G12:H12"/>
    <mergeCell ref="Q21:R21"/>
  </mergeCells>
  <printOptions horizontalCentered="1"/>
  <pageMargins left="0.25" right="0.25" top="0" bottom="0.5" header="0" footer="0.1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Kim</cp:lastModifiedBy>
  <dcterms:created xsi:type="dcterms:W3CDTF">2026-01-16T21:18:11Z</dcterms:created>
  <dcterms:modified xsi:type="dcterms:W3CDTF">2026-01-16T21:22:01Z</dcterms:modified>
</cp:coreProperties>
</file>